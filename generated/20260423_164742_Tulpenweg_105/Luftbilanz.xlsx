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scc/Desktop/"/>
    </mc:Choice>
  </mc:AlternateContent>
  <xr:revisionPtr revIDLastSave="0" documentId="8_{7ECD8094-19AA-0247-B377-8AB87AAB788B}" xr6:coauthVersionLast="47" xr6:coauthVersionMax="47" xr10:uidLastSave="{00000000-0000-0000-0000-000000000000}"/>
  <bookViews>
    <workbookView xWindow="0" yWindow="1440" windowWidth="23260" windowHeight="14880" xr2:uid="{00000000-000D-0000-FFFF-FFFF00000000}"/>
  </bookViews>
  <sheets>
    <sheet name="Luftbilanz EG" sheetId="3" r:id="rId1"/>
  </sheets>
  <definedNames>
    <definedName name="_xlnm.Print_Area" localSheetId="0">'Luftbilanz EG'!$A$1:$F$64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" l="1"/>
  <c r="B44" i="3" s="1"/>
  <c r="E10" i="3"/>
  <c r="B45" i="3" s="1"/>
  <c r="E11" i="3"/>
  <c r="B46" i="3" s="1"/>
  <c r="E12" i="3"/>
  <c r="E13" i="3"/>
  <c r="C25" i="3"/>
  <c r="E25" i="3"/>
  <c r="C26" i="3"/>
  <c r="E26" i="3"/>
  <c r="C27" i="3"/>
  <c r="E27" i="3"/>
  <c r="E32" i="3" s="1"/>
  <c r="E61" i="3" s="1"/>
  <c r="C28" i="3"/>
  <c r="E28" i="3"/>
  <c r="E60" i="3"/>
  <c r="E36" i="3"/>
  <c r="E38" i="3"/>
  <c r="E44" i="3"/>
  <c r="E45" i="3"/>
  <c r="E46" i="3"/>
  <c r="E47" i="3"/>
  <c r="E48" i="3"/>
  <c r="D49" i="3"/>
  <c r="B47" i="3"/>
  <c r="C30" i="3"/>
  <c r="E30" i="3"/>
  <c r="E14" i="3" l="1"/>
  <c r="E64" i="3" l="1"/>
  <c r="E23" i="3"/>
  <c r="E53" i="3"/>
  <c r="E58" i="3" s="1"/>
</calcChain>
</file>

<file path=xl/sharedStrings.xml><?xml version="1.0" encoding="utf-8"?>
<sst xmlns="http://schemas.openxmlformats.org/spreadsheetml/2006/main" count="94" uniqueCount="67">
  <si>
    <t>Std.</t>
  </si>
  <si>
    <t>Vor Aufhebung der Sanierungszone muss die Luft mindestens 100 mal ausgetauscht werden. Mit den installierten UHG dauert dies:</t>
  </si>
  <si>
    <t>Luftaustausch vor Aufhebung der Sanierungszone</t>
    <phoneticPr fontId="0" type="noConversion"/>
  </si>
  <si>
    <r>
      <t>m</t>
    </r>
    <r>
      <rPr>
        <vertAlign val="superscript"/>
        <sz val="10"/>
        <rFont val="Arial"/>
        <family val="2"/>
      </rPr>
      <t>3</t>
    </r>
    <r>
      <rPr>
        <sz val="10"/>
        <color theme="1"/>
        <rFont val="Arial"/>
        <family val="2"/>
      </rPr>
      <t>/h</t>
    </r>
  </si>
  <si>
    <t>Total Leistung UHGs (real, ohne Not-UHG)</t>
  </si>
  <si>
    <t>Zusätzliche UHGs</t>
  </si>
  <si>
    <t>Anzahl Geräte</t>
  </si>
  <si>
    <t>Leistung nominal</t>
  </si>
  <si>
    <t>Reservekapazität UHG</t>
    <phoneticPr fontId="0" type="noConversion"/>
  </si>
  <si>
    <t>Anteil abzudeckender Zuluftöffnungen (nicht mehr als 0.5)</t>
    <phoneticPr fontId="0" type="noConversion"/>
  </si>
  <si>
    <t>Leistung UHGs muss Zuluft aus Schleusen, Leckagen und Teil der Öffnungen abdecken.</t>
    <phoneticPr fontId="0" type="noConversion"/>
  </si>
  <si>
    <t>6. Überprüfen der Leistung der UHG</t>
  </si>
  <si>
    <r>
      <t>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/h</t>
    </r>
  </si>
  <si>
    <t>Total Leckagen (Raumvolumen * obenstehende Zahl)</t>
    <phoneticPr fontId="0" type="noConversion"/>
  </si>
  <si>
    <t>Vielfaches des Raumvoluments (0.5 bis 10, je nach Zone)</t>
  </si>
  <si>
    <t>5. Leckagen</t>
  </si>
  <si>
    <t>Total Anzahl Öffnungen</t>
    <phoneticPr fontId="0" type="noConversion"/>
  </si>
  <si>
    <t>Total Zuluft durch Öffnungen</t>
    <phoneticPr fontId="0" type="noConversion"/>
  </si>
  <si>
    <t>Teilzone 4</t>
  </si>
  <si>
    <t>Teilzone 3</t>
  </si>
  <si>
    <t>Teilzone 2</t>
  </si>
  <si>
    <t>Teilzone 1 (-Schleuse)</t>
  </si>
  <si>
    <t>Zuluft kontrolliert</t>
    <phoneticPr fontId="0" type="noConversion"/>
  </si>
  <si>
    <t>Anzahl Öffnungen</t>
  </si>
  <si>
    <t>Kapazität pro Öffnung</t>
  </si>
  <si>
    <t>Bedarf</t>
  </si>
  <si>
    <t>4b. Luftzufuhr durch Kompensationsöffnungen</t>
  </si>
  <si>
    <t>Für die weiteren Berechnung wird davon ausgegangen, dass die Schleusen in Teilzone 1 eingebaut werden!</t>
  </si>
  <si>
    <t>(normal: ~2000 bis 4000 m3/h)</t>
    <phoneticPr fontId="0" type="noConversion"/>
  </si>
  <si>
    <t>Materialschleuse</t>
  </si>
  <si>
    <t>(normal: ~300 bis 400 m3/h)</t>
    <phoneticPr fontId="0" type="noConversion"/>
  </si>
  <si>
    <t>Personenschleuse</t>
  </si>
  <si>
    <t>Anzahl</t>
  </si>
  <si>
    <t>Leistung</t>
  </si>
  <si>
    <t>4a: Luftzufuhr durch Schleuse</t>
  </si>
  <si>
    <t>Leistung total (ohne Not-UHG)</t>
  </si>
  <si>
    <t>Not-UHG</t>
  </si>
  <si>
    <t>Gerät Typ 4</t>
  </si>
  <si>
    <t>Gerät Typ 3</t>
  </si>
  <si>
    <t>Gerät Typ 2</t>
  </si>
  <si>
    <t>Gerät Typ 1</t>
  </si>
  <si>
    <t>Leistung</t>
    <phoneticPr fontId="0" type="noConversion"/>
  </si>
  <si>
    <t>Benötigte Kapazität</t>
  </si>
  <si>
    <t>3. Anzahl UHG</t>
  </si>
  <si>
    <t>Gewählte Lufterneuerung</t>
  </si>
  <si>
    <t>Min. 10-facher Luftwechsel</t>
  </si>
  <si>
    <t>Kleine Zone, Schleuse mit nur 1 Kammer</t>
  </si>
  <si>
    <t>Min. 8-facher Luftwechsel</t>
  </si>
  <si>
    <t>Komplexe Sanierungen</t>
  </si>
  <si>
    <t>Min. 6-facher Luftwechsel</t>
  </si>
  <si>
    <t>Normale Gefährdung</t>
  </si>
  <si>
    <t>2. Lufterneuerung</t>
  </si>
  <si>
    <r>
      <t>m</t>
    </r>
    <r>
      <rPr>
        <vertAlign val="superscript"/>
        <sz val="10"/>
        <rFont val="Arial"/>
        <family val="2"/>
      </rPr>
      <t>3</t>
    </r>
  </si>
  <si>
    <t>TOTAL</t>
  </si>
  <si>
    <t>Teilzone 1</t>
  </si>
  <si>
    <t>Volumen</t>
  </si>
  <si>
    <t>Höhe [m]</t>
  </si>
  <si>
    <t>Breite  [m]</t>
  </si>
  <si>
    <t>Länge  [m]</t>
  </si>
  <si>
    <t>1. Volumen der Zone</t>
  </si>
  <si>
    <t>Nur die gelb gefärbten Felder müssen ausgefüllt werden.</t>
  </si>
  <si>
    <t>Berechnung der Luftbilanz</t>
  </si>
  <si>
    <t xml:space="preserve">Sanierungsobjekt:
</t>
  </si>
  <si>
    <t xml:space="preserve">Bezeichnung Zone:
</t>
  </si>
  <si>
    <t>Teilzone 5</t>
  </si>
  <si>
    <t>Wandfliesen 1.4 m2</t>
  </si>
  <si>
    <t>Asbestsanierung: Küche Whg. 1. OG. Hübeliweg 3 Zollikofen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</si>
</sst>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2">
    <font>
      <sz val="10"/>
      <color theme="1"/>
      <name val="Arial"/>
      <family val="2"/>
    </font>
    <font>
      <sz val="10"/>
      <color rgb="FFFF0000"/>
      <name val="Arial"/>
      <family val="2"/>
    </font>
    <font>
      <sz val="7"/>
      <name val="Arial"/>
      <family val="2"/>
    </font>
    <font>
      <sz val="10"/>
      <name val="Liberation Sans"/>
      <family val="2"/>
    </font>
    <font>
      <sz val="7.5"/>
      <name val="Liberation Sans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b/>
      <sz val="14"/>
      <name val="Arial"/>
      <family val="2"/>
    </font>
    <font>
      <sz val="7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23"/>
      </patternFill>
    </fill>
    <fill>
      <patternFill patternType="solid">
        <fgColor rgb="FFFFFFCC"/>
        <bgColor indexed="21"/>
      </patternFill>
    </fill>
    <fill>
      <patternFill patternType="solid">
        <fgColor rgb="FFCCFFFF"/>
        <bgColor indexed="27"/>
      </patternFill>
    </fill>
    <fill>
      <patternFill patternType="solid">
        <fgColor rgb="FFFFFFCC"/>
        <bgColor indexed="26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</borders>
  <cellStyleXfs count="2">
    <xf numFmtId="0" fontId="0" fillId="0" borderId="0"/>
    <xf numFmtId="0" fontId="8" fillId="0" borderId="0"/>
  </cellStyleXfs>
  <cellXfs count="53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left" wrapText="1"/>
    </xf>
    <xf numFmtId="165" fontId="3" fillId="2" borderId="0" xfId="0" applyNumberFormat="1" applyFont="1" applyFill="1" applyAlignment="1">
      <alignment horizontal="right" wrapText="1"/>
    </xf>
    <xf numFmtId="0" fontId="5" fillId="3" borderId="0" xfId="0" applyFont="1" applyFill="1"/>
    <xf numFmtId="0" fontId="0" fillId="0" borderId="5" xfId="0" applyBorder="1"/>
    <xf numFmtId="0" fontId="0" fillId="4" borderId="5" xfId="0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0" fillId="4" borderId="5" xfId="0" applyFill="1" applyBorder="1"/>
    <xf numFmtId="0" fontId="5" fillId="5" borderId="5" xfId="0" applyFont="1" applyFill="1" applyBorder="1"/>
    <xf numFmtId="0" fontId="0" fillId="0" borderId="6" xfId="0" applyBorder="1"/>
    <xf numFmtId="0" fontId="0" fillId="6" borderId="5" xfId="0" applyFill="1" applyBorder="1"/>
    <xf numFmtId="0" fontId="0" fillId="2" borderId="7" xfId="0" applyFill="1" applyBorder="1" applyAlignment="1">
      <alignment horizontal="left" vertical="center"/>
    </xf>
    <xf numFmtId="0" fontId="0" fillId="2" borderId="5" xfId="0" applyFill="1" applyBorder="1"/>
    <xf numFmtId="0" fontId="0" fillId="7" borderId="5" xfId="0" applyFill="1" applyBorder="1" applyAlignment="1">
      <alignment horizontal="left" vertical="center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5" xfId="0" applyFill="1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5" fillId="5" borderId="0" xfId="0" applyFont="1" applyFill="1"/>
    <xf numFmtId="0" fontId="2" fillId="0" borderId="0" xfId="0" applyFont="1"/>
    <xf numFmtId="0" fontId="5" fillId="0" borderId="6" xfId="0" applyFont="1" applyBorder="1"/>
    <xf numFmtId="0" fontId="0" fillId="0" borderId="6" xfId="0" applyBorder="1" applyAlignment="1">
      <alignment horizontal="center"/>
    </xf>
    <xf numFmtId="4" fontId="5" fillId="0" borderId="6" xfId="0" applyNumberFormat="1" applyFont="1" applyBorder="1"/>
    <xf numFmtId="4" fontId="5" fillId="5" borderId="5" xfId="0" applyNumberFormat="1" applyFont="1" applyFill="1" applyBorder="1"/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5" fontId="0" fillId="6" borderId="5" xfId="0" applyNumberFormat="1" applyFill="1" applyBorder="1"/>
    <xf numFmtId="0" fontId="11" fillId="0" borderId="0" xfId="0" applyFont="1"/>
    <xf numFmtId="0" fontId="5" fillId="5" borderId="5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7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5" borderId="5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1092200</xdr:colOff>
      <xdr:row>21</xdr:row>
      <xdr:rowOff>101600</xdr:rowOff>
    </xdr:from>
    <xdr:ext cx="536878" cy="342786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370B6F3-2CCC-294E-939A-CBDBB609BAA5}"/>
            </a:ext>
          </a:extLst>
        </xdr:cNvPr>
        <xdr:cNvSpPr txBox="1"/>
      </xdr:nvSpPr>
      <xdr:spPr>
        <a:xfrm>
          <a:off x="5257800" y="3793067"/>
          <a:ext cx="5368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A--&gt;</a:t>
          </a:r>
        </a:p>
      </xdr:txBody>
    </xdr:sp>
    <xdr:clientData/>
  </xdr:oneCellAnchor>
  <xdr:oneCellAnchor>
    <xdr:from>
      <xdr:col>4</xdr:col>
      <xdr:colOff>63500</xdr:colOff>
      <xdr:row>61</xdr:row>
      <xdr:rowOff>63500</xdr:rowOff>
    </xdr:from>
    <xdr:ext cx="1159741" cy="342786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47589FAC-7DBB-444F-8265-8D3004A1C5C4}"/>
            </a:ext>
          </a:extLst>
        </xdr:cNvPr>
        <xdr:cNvSpPr txBox="1"/>
      </xdr:nvSpPr>
      <xdr:spPr>
        <a:xfrm>
          <a:off x="5524500" y="10947400"/>
          <a:ext cx="115974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A x100/</a:t>
          </a:r>
          <a:r>
            <a:rPr lang="de-DE" sz="1600" b="1" baseline="0"/>
            <a:t> B =</a:t>
          </a:r>
          <a:endParaRPr lang="de-DE" sz="1600" b="1"/>
        </a:p>
      </xdr:txBody>
    </xdr:sp>
    <xdr:clientData/>
  </xdr:oneCellAnchor>
  <xdr:oneCellAnchor>
    <xdr:from>
      <xdr:col>3</xdr:col>
      <xdr:colOff>1117600</xdr:colOff>
      <xdr:row>30</xdr:row>
      <xdr:rowOff>101600</xdr:rowOff>
    </xdr:from>
    <xdr:ext cx="527580" cy="342786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54A5551F-FEF4-9D4A-B83D-614237DBF2F9}"/>
            </a:ext>
          </a:extLst>
        </xdr:cNvPr>
        <xdr:cNvSpPr txBox="1"/>
      </xdr:nvSpPr>
      <xdr:spPr>
        <a:xfrm>
          <a:off x="5283200" y="5359400"/>
          <a:ext cx="5275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B--&gt;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78"/>
  <sheetViews>
    <sheetView tabSelected="1" zoomScale="150" zoomScaleNormal="150" workbookViewId="0">
      <selection activeCell="G4" sqref="G4"/>
    </sheetView>
  </sheetViews>
  <sheetFormatPr baseColWidth="10" defaultRowHeight="13"/>
  <cols>
    <col min="1" max="1" width="20.6640625" customWidth="1"/>
    <col min="2" max="4" width="17" customWidth="1"/>
    <col min="13" max="13" width="5.5" customWidth="1"/>
    <col min="14" max="14" width="63.1640625" customWidth="1"/>
    <col min="15" max="15" width="4.83203125" customWidth="1"/>
    <col min="16" max="16" width="5.83203125" customWidth="1"/>
  </cols>
  <sheetData>
    <row r="1" spans="1:6" ht="18">
      <c r="A1" s="38" t="s">
        <v>61</v>
      </c>
      <c r="B1" s="38"/>
      <c r="C1" s="38"/>
      <c r="D1" s="38"/>
      <c r="E1" s="38"/>
    </row>
    <row r="2" spans="1:6" ht="9" customHeight="1">
      <c r="A2" s="34"/>
      <c r="B2" s="34"/>
      <c r="C2" s="34"/>
      <c r="D2" s="34"/>
      <c r="E2" s="34"/>
    </row>
    <row r="3" spans="1:6" ht="17" customHeight="1">
      <c r="A3" s="39" t="s">
        <v>62</v>
      </c>
      <c r="B3" s="39"/>
      <c r="C3" s="40" t="s">
        <v>66</v>
      </c>
      <c r="D3" s="40"/>
      <c r="E3" s="40"/>
      <c r="F3" s="40"/>
    </row>
    <row r="4" spans="1:6">
      <c r="A4" s="40" t="s">
        <v>63</v>
      </c>
      <c r="B4" s="40"/>
      <c r="C4" s="40" t="s">
        <v>65</v>
      </c>
      <c r="D4" s="40"/>
      <c r="E4" s="40"/>
      <c r="F4" s="40"/>
    </row>
    <row r="5" spans="1:6" ht="9.75" customHeight="1">
      <c r="A5" s="34"/>
      <c r="B5" s="34"/>
      <c r="C5" s="34"/>
      <c r="D5" s="34"/>
      <c r="E5" s="34"/>
    </row>
    <row r="6" spans="1:6">
      <c r="A6" s="27" t="s">
        <v>60</v>
      </c>
    </row>
    <row r="7" spans="1:6">
      <c r="A7" s="7" t="s">
        <v>59</v>
      </c>
      <c r="B7" s="7"/>
      <c r="C7" s="7"/>
      <c r="D7" s="7"/>
      <c r="E7" s="7"/>
      <c r="F7" s="7"/>
    </row>
    <row r="8" spans="1:6">
      <c r="A8" s="14"/>
      <c r="B8" s="29" t="s">
        <v>58</v>
      </c>
      <c r="C8" s="29" t="s">
        <v>57</v>
      </c>
      <c r="D8" s="29" t="s">
        <v>56</v>
      </c>
      <c r="E8" s="28" t="s">
        <v>55</v>
      </c>
      <c r="F8" s="14"/>
    </row>
    <row r="9" spans="1:6" ht="15">
      <c r="A9" s="14" t="s">
        <v>54</v>
      </c>
      <c r="B9" s="15">
        <v>4.0599999999999996</v>
      </c>
      <c r="C9" s="15">
        <v>2.5499999999999998</v>
      </c>
      <c r="D9" s="15">
        <v>2.4</v>
      </c>
      <c r="E9" s="30">
        <f>B9*C9*D9</f>
        <v>24.847199999999994</v>
      </c>
      <c r="F9" s="14" t="s">
        <v>52</v>
      </c>
    </row>
    <row r="10" spans="1:6" ht="15">
      <c r="A10" s="14" t="s">
        <v>20</v>
      </c>
      <c r="B10" s="15"/>
      <c r="C10" s="15"/>
      <c r="D10" s="15"/>
      <c r="E10" s="30">
        <f>B10*C10*D10</f>
        <v>0</v>
      </c>
      <c r="F10" s="14" t="s">
        <v>52</v>
      </c>
    </row>
    <row r="11" spans="1:6" ht="15">
      <c r="A11" s="14" t="s">
        <v>19</v>
      </c>
      <c r="B11" s="15"/>
      <c r="C11" s="35"/>
      <c r="D11" s="15"/>
      <c r="E11" s="30">
        <f>B11*C11*D11</f>
        <v>0</v>
      </c>
      <c r="F11" s="14" t="s">
        <v>52</v>
      </c>
    </row>
    <row r="12" spans="1:6">
      <c r="A12" s="14" t="s">
        <v>18</v>
      </c>
      <c r="B12" s="15"/>
      <c r="C12" s="35"/>
      <c r="D12" s="15"/>
      <c r="E12" s="30">
        <f>B12*C12*D12</f>
        <v>0</v>
      </c>
      <c r="F12" s="14"/>
    </row>
    <row r="13" spans="1:6" ht="15">
      <c r="A13" s="14" t="s">
        <v>64</v>
      </c>
      <c r="B13" s="15"/>
      <c r="C13" s="15"/>
      <c r="D13" s="15"/>
      <c r="E13" s="30">
        <f>B13*C13*D13</f>
        <v>0</v>
      </c>
      <c r="F13" s="14" t="s">
        <v>52</v>
      </c>
    </row>
    <row r="14" spans="1:6" ht="15">
      <c r="A14" s="37" t="s">
        <v>53</v>
      </c>
      <c r="B14" s="37"/>
      <c r="C14" s="37"/>
      <c r="D14" s="37"/>
      <c r="E14" s="31">
        <f>SUM(E9:E13)</f>
        <v>24.847199999999994</v>
      </c>
      <c r="F14" s="23" t="s">
        <v>52</v>
      </c>
    </row>
    <row r="16" spans="1:6">
      <c r="A16" s="7" t="s">
        <v>51</v>
      </c>
      <c r="B16" s="7"/>
      <c r="C16" s="7"/>
      <c r="D16" s="7"/>
      <c r="E16" s="7"/>
      <c r="F16" s="7"/>
    </row>
    <row r="17" spans="1:6">
      <c r="A17" s="27" t="s">
        <v>50</v>
      </c>
      <c r="B17" s="27"/>
      <c r="C17" s="27" t="s">
        <v>49</v>
      </c>
      <c r="D17" s="27"/>
      <c r="E17" s="27"/>
    </row>
    <row r="18" spans="1:6">
      <c r="A18" s="27" t="s">
        <v>48</v>
      </c>
      <c r="B18" s="27"/>
      <c r="C18" s="27" t="s">
        <v>47</v>
      </c>
      <c r="D18" s="27"/>
      <c r="E18" s="27"/>
    </row>
    <row r="19" spans="1:6">
      <c r="A19" s="27" t="s">
        <v>46</v>
      </c>
      <c r="B19" s="27"/>
      <c r="C19" s="27" t="s">
        <v>45</v>
      </c>
      <c r="D19" s="27"/>
      <c r="E19" s="27"/>
    </row>
    <row r="20" spans="1:6">
      <c r="A20" s="41" t="s">
        <v>44</v>
      </c>
      <c r="B20" s="41"/>
      <c r="C20" s="41"/>
      <c r="D20" s="41"/>
      <c r="E20" s="15">
        <v>10</v>
      </c>
      <c r="F20" s="14"/>
    </row>
    <row r="22" spans="1:6">
      <c r="A22" s="7" t="s">
        <v>43</v>
      </c>
      <c r="B22" s="7"/>
      <c r="C22" s="7"/>
      <c r="D22" s="7"/>
      <c r="E22" s="7"/>
      <c r="F22" s="7"/>
    </row>
    <row r="23" spans="1:6" ht="15">
      <c r="A23" s="42" t="s">
        <v>42</v>
      </c>
      <c r="B23" s="42"/>
      <c r="C23" s="42"/>
      <c r="D23" s="42"/>
      <c r="E23" s="31">
        <f>E14*E20</f>
        <v>248.47199999999992</v>
      </c>
      <c r="F23" s="26" t="s">
        <v>12</v>
      </c>
    </row>
    <row r="24" spans="1:6" ht="14">
      <c r="A24" s="14"/>
      <c r="B24" s="25" t="s">
        <v>7</v>
      </c>
      <c r="C24" s="25" t="s">
        <v>7</v>
      </c>
      <c r="D24" s="25" t="s">
        <v>6</v>
      </c>
      <c r="E24" s="19" t="s">
        <v>41</v>
      </c>
      <c r="F24" s="14"/>
    </row>
    <row r="25" spans="1:6" ht="15">
      <c r="A25" s="14" t="s">
        <v>40</v>
      </c>
      <c r="B25" s="15">
        <v>1000</v>
      </c>
      <c r="C25" s="14">
        <f>B25*0.85</f>
        <v>850</v>
      </c>
      <c r="D25" s="15"/>
      <c r="E25" s="14">
        <f>C25*D25</f>
        <v>0</v>
      </c>
      <c r="F25" s="14" t="s">
        <v>3</v>
      </c>
    </row>
    <row r="26" spans="1:6" ht="15">
      <c r="A26" s="14" t="s">
        <v>39</v>
      </c>
      <c r="B26" s="15">
        <v>2000</v>
      </c>
      <c r="C26" s="14">
        <f>B26*0.85</f>
        <v>1700</v>
      </c>
      <c r="D26" s="15"/>
      <c r="E26" s="14">
        <f>C26*D26</f>
        <v>0</v>
      </c>
      <c r="F26" s="14" t="s">
        <v>3</v>
      </c>
    </row>
    <row r="27" spans="1:6" ht="15">
      <c r="A27" s="14" t="s">
        <v>38</v>
      </c>
      <c r="B27" s="15">
        <v>3000</v>
      </c>
      <c r="C27" s="14">
        <f>B27*0.85</f>
        <v>2550</v>
      </c>
      <c r="D27" s="15">
        <v>1</v>
      </c>
      <c r="E27" s="14">
        <f>C27*D27</f>
        <v>2550</v>
      </c>
      <c r="F27" s="14" t="s">
        <v>3</v>
      </c>
    </row>
    <row r="28" spans="1:6" ht="15">
      <c r="A28" s="14" t="s">
        <v>37</v>
      </c>
      <c r="B28" s="15">
        <v>10000</v>
      </c>
      <c r="C28" s="14">
        <f>B28*0.85</f>
        <v>8500</v>
      </c>
      <c r="D28" s="15"/>
      <c r="E28" s="14">
        <f>C28*D28</f>
        <v>0</v>
      </c>
      <c r="F28" s="14" t="s">
        <v>3</v>
      </c>
    </row>
    <row r="30" spans="1:6" ht="15">
      <c r="A30" s="14" t="s">
        <v>36</v>
      </c>
      <c r="B30" s="15">
        <v>2000</v>
      </c>
      <c r="C30" s="14">
        <f>B30*0.85</f>
        <v>1700</v>
      </c>
      <c r="D30" s="15"/>
      <c r="E30" s="14">
        <f>C30*D30</f>
        <v>0</v>
      </c>
      <c r="F30" s="14" t="s">
        <v>3</v>
      </c>
    </row>
    <row r="32" spans="1:6" ht="15">
      <c r="A32" s="37" t="s">
        <v>35</v>
      </c>
      <c r="B32" s="37"/>
      <c r="C32" s="37"/>
      <c r="D32" s="37"/>
      <c r="E32" s="13">
        <f>SUM(E25:E29)</f>
        <v>2550</v>
      </c>
      <c r="F32" s="13" t="s">
        <v>12</v>
      </c>
    </row>
    <row r="34" spans="1:6">
      <c r="A34" s="7" t="s">
        <v>34</v>
      </c>
      <c r="B34" s="7"/>
      <c r="C34" s="7"/>
      <c r="D34" s="7"/>
      <c r="E34" s="7"/>
      <c r="F34" s="7"/>
    </row>
    <row r="35" spans="1:6" ht="14">
      <c r="A35" s="43"/>
      <c r="B35" s="43"/>
      <c r="C35" s="24" t="s">
        <v>33</v>
      </c>
      <c r="D35" s="14" t="s">
        <v>32</v>
      </c>
      <c r="E35" s="41"/>
      <c r="F35" s="41"/>
    </row>
    <row r="36" spans="1:6" ht="15">
      <c r="A36" s="41" t="s">
        <v>31</v>
      </c>
      <c r="B36" s="41"/>
      <c r="C36" s="15">
        <v>600</v>
      </c>
      <c r="D36" s="15">
        <v>1</v>
      </c>
      <c r="E36" s="13">
        <f>C36*D36</f>
        <v>600</v>
      </c>
      <c r="F36" s="23" t="s">
        <v>3</v>
      </c>
    </row>
    <row r="37" spans="1:6">
      <c r="A37" s="44" t="s">
        <v>30</v>
      </c>
      <c r="B37" s="44"/>
      <c r="C37" s="44"/>
      <c r="D37" s="44"/>
      <c r="E37" s="44"/>
      <c r="F37" s="44"/>
    </row>
    <row r="38" spans="1:6" ht="15">
      <c r="A38" s="41" t="s">
        <v>29</v>
      </c>
      <c r="B38" s="41"/>
      <c r="C38" s="15">
        <v>600</v>
      </c>
      <c r="D38" s="15"/>
      <c r="E38" s="13">
        <f>C38*D38</f>
        <v>0</v>
      </c>
      <c r="F38" s="23" t="s">
        <v>3</v>
      </c>
    </row>
    <row r="39" spans="1:6">
      <c r="A39" s="44" t="s">
        <v>28</v>
      </c>
      <c r="B39" s="44"/>
      <c r="C39" s="44"/>
      <c r="D39" s="44"/>
      <c r="E39" s="44"/>
      <c r="F39" s="44"/>
    </row>
    <row r="40" spans="1:6">
      <c r="A40" s="33" t="s">
        <v>27</v>
      </c>
      <c r="B40" s="22"/>
      <c r="C40" s="22"/>
      <c r="D40" s="22"/>
      <c r="E40" s="21"/>
      <c r="F40" s="21"/>
    </row>
    <row r="42" spans="1:6">
      <c r="A42" s="7" t="s">
        <v>26</v>
      </c>
      <c r="B42" s="7"/>
      <c r="C42" s="7"/>
      <c r="D42" s="7"/>
      <c r="E42" s="7"/>
      <c r="F42" s="7"/>
    </row>
    <row r="43" spans="1:6" ht="28">
      <c r="A43" s="32"/>
      <c r="B43" s="20" t="s">
        <v>25</v>
      </c>
      <c r="C43" s="20" t="s">
        <v>24</v>
      </c>
      <c r="D43" s="20" t="s">
        <v>23</v>
      </c>
      <c r="E43" s="19" t="s">
        <v>22</v>
      </c>
      <c r="F43" s="8"/>
    </row>
    <row r="44" spans="1:6" ht="15">
      <c r="A44" s="32" t="s">
        <v>21</v>
      </c>
      <c r="B44" s="32">
        <f>E9*E$20-E36-E38</f>
        <v>-351.52800000000008</v>
      </c>
      <c r="C44" s="18">
        <v>1000</v>
      </c>
      <c r="D44" s="18">
        <v>1</v>
      </c>
      <c r="E44" s="14">
        <f>C44*D44</f>
        <v>1000</v>
      </c>
      <c r="F44" s="8" t="s">
        <v>3</v>
      </c>
    </row>
    <row r="45" spans="1:6" ht="15">
      <c r="A45" s="32" t="s">
        <v>20</v>
      </c>
      <c r="B45" s="32">
        <f>E10*E$20</f>
        <v>0</v>
      </c>
      <c r="C45" s="18">
        <v>1000</v>
      </c>
      <c r="D45" s="18"/>
      <c r="E45" s="14">
        <f>C45*D45</f>
        <v>0</v>
      </c>
      <c r="F45" s="8" t="s">
        <v>3</v>
      </c>
    </row>
    <row r="46" spans="1:6" ht="15">
      <c r="A46" s="32" t="s">
        <v>19</v>
      </c>
      <c r="B46" s="32">
        <f>E11*E$20</f>
        <v>0</v>
      </c>
      <c r="C46" s="18">
        <v>1000</v>
      </c>
      <c r="D46" s="18"/>
      <c r="E46" s="14">
        <f>C46*D46</f>
        <v>0</v>
      </c>
      <c r="F46" s="8" t="s">
        <v>3</v>
      </c>
    </row>
    <row r="47" spans="1:6" ht="15">
      <c r="A47" s="32" t="s">
        <v>18</v>
      </c>
      <c r="B47" s="32">
        <f>E13*E$20</f>
        <v>0</v>
      </c>
      <c r="C47" s="18">
        <v>1000</v>
      </c>
      <c r="D47" s="18"/>
      <c r="E47" s="14">
        <f>C47*D47</f>
        <v>0</v>
      </c>
      <c r="F47" s="8" t="s">
        <v>3</v>
      </c>
    </row>
    <row r="48" spans="1:6" ht="15">
      <c r="A48" s="41" t="s">
        <v>17</v>
      </c>
      <c r="B48" s="41"/>
      <c r="C48" s="41"/>
      <c r="D48" s="41"/>
      <c r="E48" s="17">
        <f>SUM(E44:E47)</f>
        <v>1000</v>
      </c>
      <c r="F48" s="8" t="s">
        <v>3</v>
      </c>
    </row>
    <row r="49" spans="1:6">
      <c r="A49" s="45" t="s">
        <v>16</v>
      </c>
      <c r="B49" s="45"/>
      <c r="C49" s="45"/>
      <c r="D49" s="16">
        <f>SUM(D44:D47)</f>
        <v>1</v>
      </c>
    </row>
    <row r="51" spans="1:6">
      <c r="A51" s="7" t="s">
        <v>15</v>
      </c>
      <c r="B51" s="7"/>
      <c r="C51" s="7"/>
      <c r="D51" s="7"/>
      <c r="E51" s="7"/>
      <c r="F51" s="7"/>
    </row>
    <row r="52" spans="1:6">
      <c r="A52" s="41" t="s">
        <v>14</v>
      </c>
      <c r="B52" s="41"/>
      <c r="C52" s="41"/>
      <c r="D52" s="41"/>
      <c r="E52" s="15">
        <v>5</v>
      </c>
      <c r="F52" s="14"/>
    </row>
    <row r="53" spans="1:6" ht="15">
      <c r="A53" s="47" t="s">
        <v>13</v>
      </c>
      <c r="B53" s="47"/>
      <c r="C53" s="47"/>
      <c r="D53" s="47"/>
      <c r="E53" s="31">
        <f>E14*E52</f>
        <v>124.23599999999996</v>
      </c>
      <c r="F53" s="13" t="s">
        <v>12</v>
      </c>
    </row>
    <row r="55" spans="1:6">
      <c r="A55" s="7" t="s">
        <v>11</v>
      </c>
      <c r="B55" s="7"/>
      <c r="C55" s="7"/>
      <c r="D55" s="7"/>
      <c r="E55" s="7"/>
      <c r="F55" s="7"/>
    </row>
    <row r="56" spans="1:6">
      <c r="A56" s="48" t="s">
        <v>10</v>
      </c>
      <c r="B56" s="48"/>
      <c r="C56" s="48"/>
      <c r="D56" s="48"/>
      <c r="E56" s="48"/>
      <c r="F56" s="48"/>
    </row>
    <row r="57" spans="1:6">
      <c r="A57" s="49" t="s">
        <v>9</v>
      </c>
      <c r="B57" s="49"/>
      <c r="C57" s="49"/>
      <c r="D57" s="49"/>
      <c r="E57" s="12">
        <v>0.5</v>
      </c>
      <c r="F57" s="11"/>
    </row>
    <row r="58" spans="1:6" ht="15">
      <c r="A58" s="41" t="s">
        <v>8</v>
      </c>
      <c r="B58" s="41"/>
      <c r="C58" s="41"/>
      <c r="D58" s="41"/>
      <c r="E58" s="31">
        <f>E32-E36-E38-E53-E48*(1-E57)</f>
        <v>1325.7640000000001</v>
      </c>
      <c r="F58" s="8" t="s">
        <v>3</v>
      </c>
    </row>
    <row r="59" spans="1:6">
      <c r="A59" s="8"/>
      <c r="B59" s="10" t="s">
        <v>7</v>
      </c>
      <c r="C59" s="10" t="s">
        <v>7</v>
      </c>
      <c r="D59" s="10" t="s">
        <v>6</v>
      </c>
      <c r="E59" s="8"/>
      <c r="F59" s="8"/>
    </row>
    <row r="60" spans="1:6" ht="15">
      <c r="A60" s="32" t="s">
        <v>5</v>
      </c>
      <c r="B60" s="9">
        <v>3000</v>
      </c>
      <c r="C60" s="32">
        <v>2550</v>
      </c>
      <c r="D60" s="9"/>
      <c r="E60" s="8">
        <f>C60*D60</f>
        <v>0</v>
      </c>
      <c r="F60" s="8" t="s">
        <v>3</v>
      </c>
    </row>
    <row r="61" spans="1:6" ht="15">
      <c r="A61" s="8" t="s">
        <v>4</v>
      </c>
      <c r="B61" s="8"/>
      <c r="C61" s="8"/>
      <c r="D61" s="8"/>
      <c r="E61" s="8">
        <f>E32+E60</f>
        <v>2550</v>
      </c>
      <c r="F61" s="8" t="s">
        <v>3</v>
      </c>
    </row>
    <row r="63" spans="1:6" ht="14" thickBot="1">
      <c r="A63" s="7" t="s">
        <v>2</v>
      </c>
      <c r="B63" s="7"/>
      <c r="C63" s="7"/>
      <c r="D63" s="7"/>
      <c r="E63" s="7"/>
      <c r="F63" s="7"/>
    </row>
    <row r="64" spans="1:6" ht="15" thickBot="1">
      <c r="A64" s="50" t="s">
        <v>1</v>
      </c>
      <c r="B64" s="51"/>
      <c r="C64" s="51"/>
      <c r="D64" s="52"/>
      <c r="E64" s="6">
        <f>E14*100/E61</f>
        <v>0.97439999999999971</v>
      </c>
      <c r="F64" s="5" t="s">
        <v>0</v>
      </c>
    </row>
    <row r="65" spans="1:6">
      <c r="A65" s="46"/>
      <c r="B65" s="46"/>
      <c r="C65" s="46"/>
      <c r="D65" s="46"/>
      <c r="E65" s="46"/>
      <c r="F65" s="4"/>
    </row>
    <row r="66" spans="1:6">
      <c r="A66" s="46"/>
      <c r="B66" s="46"/>
      <c r="C66" s="46"/>
      <c r="D66" s="46"/>
      <c r="E66" s="46"/>
    </row>
    <row r="67" spans="1:6">
      <c r="A67" s="46"/>
      <c r="B67" s="46"/>
      <c r="C67" s="46"/>
      <c r="D67" s="46"/>
      <c r="E67" s="46"/>
      <c r="F67" s="4"/>
    </row>
    <row r="70" spans="1:6">
      <c r="A70" s="2"/>
      <c r="C70" s="3"/>
    </row>
    <row r="71" spans="1:6">
      <c r="A71" s="2"/>
      <c r="C71" s="3"/>
    </row>
    <row r="72" spans="1:6">
      <c r="A72" s="2"/>
      <c r="C72" s="3"/>
    </row>
    <row r="73" spans="1:6">
      <c r="A73" s="2"/>
      <c r="C73" s="3"/>
    </row>
    <row r="74" spans="1:6">
      <c r="A74" s="2"/>
      <c r="C74" s="3"/>
      <c r="E74" s="36"/>
    </row>
    <row r="75" spans="1:6">
      <c r="C75" s="3"/>
    </row>
    <row r="76" spans="1:6">
      <c r="A76" s="2"/>
    </row>
    <row r="78" spans="1:6">
      <c r="A78" s="1"/>
    </row>
  </sheetData>
  <mergeCells count="26">
    <mergeCell ref="A66:E66"/>
    <mergeCell ref="A67:E67"/>
    <mergeCell ref="A53:D53"/>
    <mergeCell ref="A56:F56"/>
    <mergeCell ref="A57:D57"/>
    <mergeCell ref="A58:D58"/>
    <mergeCell ref="A64:D64"/>
    <mergeCell ref="A65:E65"/>
    <mergeCell ref="A52:D52"/>
    <mergeCell ref="A20:D20"/>
    <mergeCell ref="A23:D23"/>
    <mergeCell ref="A32:D32"/>
    <mergeCell ref="A35:B35"/>
    <mergeCell ref="A37:F37"/>
    <mergeCell ref="A38:B38"/>
    <mergeCell ref="A39:F39"/>
    <mergeCell ref="A48:D48"/>
    <mergeCell ref="A49:C49"/>
    <mergeCell ref="E35:F35"/>
    <mergeCell ref="A36:B36"/>
    <mergeCell ref="A14:D14"/>
    <mergeCell ref="A1:E1"/>
    <mergeCell ref="A3:B3"/>
    <mergeCell ref="C3:F3"/>
    <mergeCell ref="A4:B4"/>
    <mergeCell ref="C4:F4"/>
  </mergeCells>
  <pageMargins left="0.78740157480314998" right="0.39370078740157499" top="0.78740157480314998" bottom="0.59055118110236204" header="0.39370078740157499" footer="0.196850393700787"/>
  <pageSetup paperSize="9" scale="82" orientation="portrait" r:id="rId1"/>
  <headerFooter>
    <oddFooter>&amp;L&amp;8&amp;K000000R+S Asbest- und Schadstoffsanierung
cr&amp;C&amp;8&amp;K000000&amp;P von &amp;N&amp;R&amp;8&amp;K000000&amp;D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Luftbilanz EG</vt:lpstr>
      <vt:lpstr>'Luftbilanz EG'!Druckbereich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cintia.reitmann</dc:creator>
  <cp:lastModifiedBy>Luis Silva Ccanto</cp:lastModifiedBy>
  <cp:lastPrinted>2022-05-04T06:35:01Z</cp:lastPrinted>
  <dcterms:created xsi:type="dcterms:W3CDTF">2015-03-23T09:25:03Z</dcterms:created>
  <dcterms:modified xsi:type="dcterms:W3CDTF">2023-08-31T14:11:54Z</dcterms:modified>
</cp:coreProperties>
</file>
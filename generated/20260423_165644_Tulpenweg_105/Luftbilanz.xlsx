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440" windowWidth="23260" windowHeight="14880" tabRatio="600" firstSheet="0" activeTab="0" autoFilterDateGrouping="1"/>
  </bookViews>
  <sheets>
    <sheet xmlns:r="http://schemas.openxmlformats.org/officeDocument/2006/relationships" name="Luftbilanz EG" sheetId="1" state="visible" r:id="rId1"/>
  </sheets>
  <definedNames>
    <definedName name="_xlnm.Print_Area" localSheetId="0">'Luftbilanz EG'!$A$1:$F$64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0.0"/>
  </numFmts>
  <fonts count="12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sz val="7"/>
    </font>
    <font>
      <name val="Liberation Sans"/>
      <family val="2"/>
      <sz val="10"/>
    </font>
    <font>
      <name val="Liberation Sans"/>
      <family val="2"/>
      <sz val="7.5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  <vertAlign val="superscript"/>
    </font>
    <font>
      <name val="Arial"/>
      <family val="2"/>
      <b val="1"/>
      <sz val="14"/>
    </font>
    <font>
      <name val="Arial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"/>
        <bgColor indexed="23"/>
      </patternFill>
    </fill>
    <fill>
      <patternFill patternType="solid">
        <fgColor rgb="FFFFFFCC"/>
        <bgColor indexed="21"/>
      </patternFill>
    </fill>
    <fill>
      <patternFill patternType="solid">
        <fgColor rgb="FFCCFFFF"/>
        <bgColor indexed="27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hair">
        <color indexed="23"/>
      </right>
      <top/>
      <bottom/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</borders>
  <cellStyleXfs count="2">
    <xf numFmtId="0" fontId="0" fillId="0" borderId="0"/>
    <xf numFmtId="0" fontId="8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2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165" fontId="3" fillId="2" borderId="0" applyAlignment="1" pivotButton="0" quotePrefix="0" xfId="0">
      <alignment horizontal="right" wrapText="1"/>
    </xf>
    <xf numFmtId="0" fontId="5" fillId="3" borderId="0" pivotButton="0" quotePrefix="0" xfId="0"/>
    <xf numFmtId="0" fontId="0" fillId="0" borderId="5" pivotButton="0" quotePrefix="0" xfId="0"/>
    <xf numFmtId="0" fontId="0" fillId="4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/>
    </xf>
    <xf numFmtId="0" fontId="0" fillId="4" borderId="5" pivotButton="0" quotePrefix="0" xfId="0"/>
    <xf numFmtId="0" fontId="5" fillId="5" borderId="5" pivotButton="0" quotePrefix="0" xfId="0"/>
    <xf numFmtId="0" fontId="0" fillId="0" borderId="6" pivotButton="0" quotePrefix="0" xfId="0"/>
    <xf numFmtId="0" fontId="0" fillId="6" borderId="5" pivotButton="0" quotePrefix="0" xfId="0"/>
    <xf numFmtId="0" fontId="0" fillId="2" borderId="7" applyAlignment="1" pivotButton="0" quotePrefix="0" xfId="0">
      <alignment horizontal="left" vertical="center"/>
    </xf>
    <xf numFmtId="0" fontId="0" fillId="2" borderId="5" pivotButton="0" quotePrefix="0" xfId="0"/>
    <xf numFmtId="0" fontId="0" fillId="7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5" borderId="5" pivotButton="0" quotePrefix="0" xfId="0"/>
    <xf numFmtId="0" fontId="0" fillId="0" borderId="6" applyAlignment="1" pivotButton="0" quotePrefix="0" xfId="0">
      <alignment wrapText="1"/>
    </xf>
    <xf numFmtId="0" fontId="0" fillId="0" borderId="6" applyAlignment="1" pivotButton="0" quotePrefix="0" xfId="0">
      <alignment horizontal="center" wrapText="1"/>
    </xf>
    <xf numFmtId="0" fontId="5" fillId="5" borderId="0" pivotButton="0" quotePrefix="0" xfId="0"/>
    <xf numFmtId="0" fontId="2" fillId="0" borderId="0" pivotButton="0" quotePrefix="0" xfId="0"/>
    <xf numFmtId="0" fontId="5" fillId="0" borderId="6" pivotButton="0" quotePrefix="0" xfId="0"/>
    <xf numFmtId="0" fontId="0" fillId="0" borderId="6" applyAlignment="1" pivotButton="0" quotePrefix="0" xfId="0">
      <alignment horizontal="center"/>
    </xf>
    <xf numFmtId="4" fontId="5" fillId="0" borderId="6" pivotButton="0" quotePrefix="0" xfId="0"/>
    <xf numFmtId="4" fontId="5" fillId="5" borderId="5" pivotButton="0" quotePrefix="0" xfId="0"/>
    <xf numFmtId="0" fontId="0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0" fillId="6" borderId="5" pivotButton="0" quotePrefix="0" xfId="0"/>
    <xf numFmtId="0" fontId="11" fillId="0" borderId="0" pivotButton="0" quotePrefix="0" xfId="0"/>
    <xf numFmtId="0" fontId="5" fillId="5" borderId="5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</cellXfs>
  <cellStyles count="2">
    <cellStyle name="Standard" xfId="0" builtinId="0"/>
    <cellStyle name="Stand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tabSelected="1" zoomScale="150" zoomScaleNormal="150" workbookViewId="0">
      <selection activeCell="G4" sqref="G4"/>
    </sheetView>
  </sheetViews>
  <sheetFormatPr baseColWidth="10" defaultRowHeight="13"/>
  <cols>
    <col width="20.6640625" customWidth="1" min="1" max="1"/>
    <col width="17" customWidth="1" min="2" max="4"/>
    <col width="5.5" customWidth="1" min="13" max="13"/>
    <col width="63.1640625" customWidth="1" min="14" max="14"/>
    <col width="4.83203125" customWidth="1" min="15" max="15"/>
    <col width="5.83203125" customWidth="1" min="16" max="16"/>
  </cols>
  <sheetData>
    <row r="1" ht="18" customHeight="1">
      <c r="A1" s="38" t="inlineStr">
        <is>
          <t>Berechnung der Luftbilanz</t>
        </is>
      </c>
    </row>
    <row r="2" ht="9" customHeight="1">
      <c r="A2" s="38" t="n"/>
      <c r="B2" s="38" t="n"/>
      <c r="C2" s="38" t="n"/>
      <c r="D2" s="38" t="n"/>
      <c r="E2" s="38" t="n"/>
    </row>
    <row r="3" ht="17" customHeight="1">
      <c r="A3" s="39" t="inlineStr">
        <is>
          <t xml:space="preserve">Sanierungsobjekt:
</t>
        </is>
      </c>
      <c r="C3" s="40" t="inlineStr">
        <is>
          <t>Asbestsanierung: MFH Badewanne Sanierung, Tulpenweg 105, 3098 Köniz</t>
        </is>
      </c>
    </row>
    <row r="4">
      <c r="A4" s="40" t="inlineStr">
        <is>
          <t xml:space="preserve">Bezeichnung Zone:
</t>
        </is>
      </c>
      <c r="C4" s="40" t="inlineStr">
        <is>
          <t>Wandfliesen 68 m2</t>
        </is>
      </c>
    </row>
    <row r="5" ht="9.75" customHeight="1">
      <c r="A5" s="38" t="n"/>
      <c r="B5" s="38" t="n"/>
      <c r="C5" s="38" t="n"/>
      <c r="D5" s="38" t="n"/>
      <c r="E5" s="38" t="n"/>
    </row>
    <row r="6">
      <c r="A6" s="27" t="inlineStr">
        <is>
          <t>Nur die gelb gefärbten Felder müssen ausgefüllt werden.</t>
        </is>
      </c>
    </row>
    <row r="7">
      <c r="A7" s="7" t="inlineStr">
        <is>
          <t>1. Volumen der Zone</t>
        </is>
      </c>
      <c r="B7" s="7" t="n"/>
      <c r="C7" s="7" t="n"/>
      <c r="D7" s="7" t="n"/>
      <c r="E7" s="7" t="n"/>
      <c r="F7" s="7" t="n"/>
    </row>
    <row r="8">
      <c r="A8" s="14" t="n"/>
      <c r="B8" s="29" t="inlineStr">
        <is>
          <t>Länge  [m]</t>
        </is>
      </c>
      <c r="C8" s="29" t="inlineStr">
        <is>
          <t>Breite  [m]</t>
        </is>
      </c>
      <c r="D8" s="29" t="inlineStr">
        <is>
          <t>Höhe [m]</t>
        </is>
      </c>
      <c r="E8" s="28" t="inlineStr">
        <is>
          <t>Volumen</t>
        </is>
      </c>
      <c r="F8" s="14" t="n"/>
    </row>
    <row r="9" ht="15" customHeight="1">
      <c r="A9" s="14" t="inlineStr">
        <is>
          <t>Teilzone 1</t>
        </is>
      </c>
      <c r="B9" s="15" t="n">
        <v>4.06</v>
      </c>
      <c r="C9" s="15" t="n">
        <v>2.55</v>
      </c>
      <c r="D9" s="15" t="n">
        <v>2.4</v>
      </c>
      <c r="E9" s="30">
        <f>B9*C9*D9</f>
        <v/>
      </c>
      <c r="F9" s="14" t="inlineStr">
        <is>
          <t>m3</t>
        </is>
      </c>
    </row>
    <row r="10" ht="15" customHeight="1">
      <c r="A10" s="14" t="inlineStr">
        <is>
          <t>Teilzone 2</t>
        </is>
      </c>
      <c r="B10" s="15" t="n"/>
      <c r="C10" s="15" t="n"/>
      <c r="D10" s="15" t="n"/>
      <c r="E10" s="30">
        <f>B10*C10*D10</f>
        <v/>
      </c>
      <c r="F10" s="14" t="inlineStr">
        <is>
          <t>m3</t>
        </is>
      </c>
    </row>
    <row r="11" ht="15" customHeight="1">
      <c r="A11" s="14" t="inlineStr">
        <is>
          <t>Teilzone 3</t>
        </is>
      </c>
      <c r="B11" s="15" t="n"/>
      <c r="C11" s="35" t="n"/>
      <c r="D11" s="15" t="n"/>
      <c r="E11" s="30">
        <f>B11*C11*D11</f>
        <v/>
      </c>
      <c r="F11" s="14" t="inlineStr">
        <is>
          <t>m3</t>
        </is>
      </c>
    </row>
    <row r="12">
      <c r="A12" s="14" t="inlineStr">
        <is>
          <t>Teilzone 4</t>
        </is>
      </c>
      <c r="B12" s="15" t="n"/>
      <c r="C12" s="35" t="n"/>
      <c r="D12" s="15" t="n"/>
      <c r="E12" s="30">
        <f>B12*C12*D12</f>
        <v/>
      </c>
      <c r="F12" s="14" t="n"/>
    </row>
    <row r="13" ht="15" customHeight="1">
      <c r="A13" s="14" t="inlineStr">
        <is>
          <t>Teilzone 5</t>
        </is>
      </c>
      <c r="B13" s="15" t="n"/>
      <c r="C13" s="15" t="n"/>
      <c r="D13" s="15" t="n"/>
      <c r="E13" s="30">
        <f>B13*C13*D13</f>
        <v/>
      </c>
      <c r="F13" s="14" t="inlineStr">
        <is>
          <t>m3</t>
        </is>
      </c>
    </row>
    <row r="14" ht="15" customHeight="1">
      <c r="A14" s="37" t="inlineStr">
        <is>
          <t>TOTAL</t>
        </is>
      </c>
      <c r="B14" s="53" t="n"/>
      <c r="C14" s="53" t="n"/>
      <c r="D14" s="54" t="n"/>
      <c r="E14" s="31">
        <f>SUM(E9:E13)</f>
        <v/>
      </c>
      <c r="F14" s="23" t="inlineStr">
        <is>
          <t>m3</t>
        </is>
      </c>
    </row>
    <row r="16">
      <c r="A16" s="7" t="inlineStr">
        <is>
          <t>2. Lufterneuerung</t>
        </is>
      </c>
      <c r="B16" s="7" t="n"/>
      <c r="C16" s="7" t="n"/>
      <c r="D16" s="7" t="n"/>
      <c r="E16" s="7" t="n"/>
      <c r="F16" s="7" t="n"/>
    </row>
    <row r="17">
      <c r="A17" s="27" t="inlineStr">
        <is>
          <t>Normale Gefährdung</t>
        </is>
      </c>
      <c r="B17" s="27" t="n"/>
      <c r="C17" s="27" t="inlineStr">
        <is>
          <t>Min. 6-facher Luftwechsel</t>
        </is>
      </c>
      <c r="D17" s="27" t="n"/>
      <c r="E17" s="27" t="n"/>
    </row>
    <row r="18">
      <c r="A18" s="27" t="inlineStr">
        <is>
          <t>Komplexe Sanierungen</t>
        </is>
      </c>
      <c r="B18" s="27" t="n"/>
      <c r="C18" s="27" t="inlineStr">
        <is>
          <t>Min. 8-facher Luftwechsel</t>
        </is>
      </c>
      <c r="D18" s="27" t="n"/>
      <c r="E18" s="27" t="n"/>
    </row>
    <row r="19">
      <c r="A19" s="27" t="inlineStr">
        <is>
          <t>Kleine Zone, Schleuse mit nur 1 Kammer</t>
        </is>
      </c>
      <c r="B19" s="27" t="n"/>
      <c r="C19" s="27" t="inlineStr">
        <is>
          <t>Min. 10-facher Luftwechsel</t>
        </is>
      </c>
      <c r="D19" s="27" t="n"/>
      <c r="E19" s="27" t="n"/>
    </row>
    <row r="20">
      <c r="A20" s="41" t="inlineStr">
        <is>
          <t>Gewählte Lufterneuerung</t>
        </is>
      </c>
      <c r="B20" s="53" t="n"/>
      <c r="C20" s="53" t="n"/>
      <c r="D20" s="54" t="n"/>
      <c r="E20" s="15" t="n">
        <v>10</v>
      </c>
      <c r="F20" s="14" t="n"/>
    </row>
    <row r="22">
      <c r="A22" s="7" t="inlineStr">
        <is>
          <t>3. Anzahl UHG</t>
        </is>
      </c>
      <c r="B22" s="7" t="n"/>
      <c r="C22" s="7" t="n"/>
      <c r="D22" s="7" t="n"/>
      <c r="E22" s="7" t="n"/>
      <c r="F22" s="7" t="n"/>
    </row>
    <row r="23" ht="15" customHeight="1">
      <c r="A23" s="42" t="inlineStr">
        <is>
          <t>Benötigte Kapazität</t>
        </is>
      </c>
      <c r="E23" s="31">
        <f>E14*E20</f>
        <v/>
      </c>
      <c r="F23" s="26" t="inlineStr">
        <is>
          <t>m3/h</t>
        </is>
      </c>
    </row>
    <row r="24" ht="14" customHeight="1">
      <c r="A24" s="14" t="n"/>
      <c r="B24" s="25" t="inlineStr">
        <is>
          <t>Leistung nominal</t>
        </is>
      </c>
      <c r="C24" s="25" t="inlineStr">
        <is>
          <t>Leistung nominal</t>
        </is>
      </c>
      <c r="D24" s="25" t="inlineStr">
        <is>
          <t>Anzahl Geräte</t>
        </is>
      </c>
      <c r="E24" s="19" t="inlineStr">
        <is>
          <t>Leistung</t>
        </is>
      </c>
      <c r="F24" s="14" t="n"/>
    </row>
    <row r="25" ht="15" customHeight="1">
      <c r="A25" s="14" t="inlineStr">
        <is>
          <t>Gerät Typ 1</t>
        </is>
      </c>
      <c r="B25" s="15" t="n">
        <v>1000</v>
      </c>
      <c r="C25" s="14">
        <f>B25*0.85</f>
        <v/>
      </c>
      <c r="D25" s="15" t="n"/>
      <c r="E25" s="14">
        <f>C25*D25</f>
        <v/>
      </c>
      <c r="F25" s="14" t="inlineStr">
        <is>
          <t>m3/h</t>
        </is>
      </c>
    </row>
    <row r="26" ht="15" customHeight="1">
      <c r="A26" s="14" t="inlineStr">
        <is>
          <t>Gerät Typ 2</t>
        </is>
      </c>
      <c r="B26" s="15" t="n">
        <v>2000</v>
      </c>
      <c r="C26" s="14">
        <f>B26*0.85</f>
        <v/>
      </c>
      <c r="D26" s="15" t="n"/>
      <c r="E26" s="14">
        <f>C26*D26</f>
        <v/>
      </c>
      <c r="F26" s="14" t="inlineStr">
        <is>
          <t>m3/h</t>
        </is>
      </c>
    </row>
    <row r="27" ht="15" customHeight="1">
      <c r="A27" s="14" t="inlineStr">
        <is>
          <t>Gerät Typ 3</t>
        </is>
      </c>
      <c r="B27" s="15" t="n">
        <v>3000</v>
      </c>
      <c r="C27" s="14">
        <f>B27*0.85</f>
        <v/>
      </c>
      <c r="D27" s="15" t="n">
        <v>1</v>
      </c>
      <c r="E27" s="14">
        <f>C27*D27</f>
        <v/>
      </c>
      <c r="F27" s="14" t="inlineStr">
        <is>
          <t>m3/h</t>
        </is>
      </c>
    </row>
    <row r="28" ht="15" customHeight="1">
      <c r="A28" s="14" t="inlineStr">
        <is>
          <t>Gerät Typ 4</t>
        </is>
      </c>
      <c r="B28" s="15" t="n">
        <v>10000</v>
      </c>
      <c r="C28" s="14">
        <f>B28*0.85</f>
        <v/>
      </c>
      <c r="D28" s="15" t="n"/>
      <c r="E28" s="14">
        <f>C28*D28</f>
        <v/>
      </c>
      <c r="F28" s="14" t="inlineStr">
        <is>
          <t>m3/h</t>
        </is>
      </c>
    </row>
    <row r="30" ht="15" customHeight="1">
      <c r="A30" s="14" t="inlineStr">
        <is>
          <t>Not-UHG</t>
        </is>
      </c>
      <c r="B30" s="15" t="n">
        <v>2000</v>
      </c>
      <c r="C30" s="14">
        <f>B30*0.85</f>
        <v/>
      </c>
      <c r="D30" s="15" t="n"/>
      <c r="E30" s="14">
        <f>C30*D30</f>
        <v/>
      </c>
      <c r="F30" s="14" t="inlineStr">
        <is>
          <t>m3/h</t>
        </is>
      </c>
    </row>
    <row r="32" ht="15" customHeight="1">
      <c r="A32" s="37" t="inlineStr">
        <is>
          <t>Leistung total (ohne Not-UHG)</t>
        </is>
      </c>
      <c r="B32" s="53" t="n"/>
      <c r="C32" s="53" t="n"/>
      <c r="D32" s="54" t="n"/>
      <c r="E32" s="13">
        <f>SUM(E25:E29)</f>
        <v/>
      </c>
      <c r="F32" s="13" t="inlineStr">
        <is>
          <t>m3/h</t>
        </is>
      </c>
    </row>
    <row r="34">
      <c r="A34" s="7" t="inlineStr">
        <is>
          <t>4a: Luftzufuhr durch Schleuse</t>
        </is>
      </c>
      <c r="B34" s="7" t="n"/>
      <c r="C34" s="7" t="n"/>
      <c r="D34" s="7" t="n"/>
      <c r="E34" s="7" t="n"/>
      <c r="F34" s="7" t="n"/>
    </row>
    <row r="35" ht="14" customHeight="1">
      <c r="A35" s="43" t="n"/>
      <c r="B35" s="54" t="n"/>
      <c r="C35" s="24" t="inlineStr">
        <is>
          <t>Leistung</t>
        </is>
      </c>
      <c r="D35" s="14" t="inlineStr">
        <is>
          <t>Anzahl</t>
        </is>
      </c>
      <c r="E35" s="41" t="n"/>
      <c r="F35" s="54" t="n"/>
    </row>
    <row r="36" ht="15" customHeight="1">
      <c r="A36" s="41" t="inlineStr">
        <is>
          <t>Personenschleuse</t>
        </is>
      </c>
      <c r="B36" s="54" t="n"/>
      <c r="C36" s="15" t="n">
        <v>600</v>
      </c>
      <c r="D36" s="15" t="n">
        <v>1</v>
      </c>
      <c r="E36" s="13">
        <f>C36*D36</f>
        <v/>
      </c>
      <c r="F36" s="23" t="inlineStr">
        <is>
          <t>m3/h</t>
        </is>
      </c>
    </row>
    <row r="37">
      <c r="A37" s="44" t="inlineStr">
        <is>
          <t>(normal: ~300 bis 400 m3/h)</t>
        </is>
      </c>
    </row>
    <row r="38" ht="15" customHeight="1">
      <c r="A38" s="41" t="inlineStr">
        <is>
          <t>Materialschleuse</t>
        </is>
      </c>
      <c r="B38" s="54" t="n"/>
      <c r="C38" s="15" t="n">
        <v>600</v>
      </c>
      <c r="D38" s="15" t="n"/>
      <c r="E38" s="13">
        <f>C38*D38</f>
        <v/>
      </c>
      <c r="F38" s="23" t="inlineStr">
        <is>
          <t>m3/h</t>
        </is>
      </c>
    </row>
    <row r="39">
      <c r="A39" s="44" t="inlineStr">
        <is>
          <t>(normal: ~2000 bis 4000 m3/h)</t>
        </is>
      </c>
    </row>
    <row r="40">
      <c r="A40" s="48" t="inlineStr">
        <is>
          <t>Für die weiteren Berechnung wird davon ausgegangen, dass die Schleusen in Teilzone 1 eingebaut werden!</t>
        </is>
      </c>
      <c r="B40" s="22" t="n"/>
      <c r="C40" s="22" t="n"/>
      <c r="D40" s="22" t="n"/>
      <c r="E40" s="21" t="n"/>
      <c r="F40" s="21" t="n"/>
    </row>
    <row r="42">
      <c r="A42" s="7" t="inlineStr">
        <is>
          <t>4b. Luftzufuhr durch Kompensationsöffnungen</t>
        </is>
      </c>
      <c r="B42" s="7" t="n"/>
      <c r="C42" s="7" t="n"/>
      <c r="D42" s="7" t="n"/>
      <c r="E42" s="7" t="n"/>
      <c r="F42" s="7" t="n"/>
    </row>
    <row r="43" ht="28" customHeight="1">
      <c r="A43" s="41" t="n"/>
      <c r="B43" s="20" t="inlineStr">
        <is>
          <t>Bedarf</t>
        </is>
      </c>
      <c r="C43" s="20" t="inlineStr">
        <is>
          <t>Kapazität pro Öffnung</t>
        </is>
      </c>
      <c r="D43" s="20" t="inlineStr">
        <is>
          <t>Anzahl Öffnungen</t>
        </is>
      </c>
      <c r="E43" s="19" t="inlineStr">
        <is>
          <t>Zuluft kontrolliert</t>
        </is>
      </c>
      <c r="F43" s="8" t="n"/>
    </row>
    <row r="44" ht="15" customHeight="1">
      <c r="A44" s="41" t="inlineStr">
        <is>
          <t>Teilzone 1 (-Schleuse)</t>
        </is>
      </c>
      <c r="B44" s="41">
        <f>E9*E$20-E36-E38</f>
        <v/>
      </c>
      <c r="C44" s="18" t="n">
        <v>1000</v>
      </c>
      <c r="D44" s="18" t="n">
        <v>1</v>
      </c>
      <c r="E44" s="14">
        <f>C44*D44</f>
        <v/>
      </c>
      <c r="F44" s="8" t="inlineStr">
        <is>
          <t>m3/h</t>
        </is>
      </c>
    </row>
    <row r="45" ht="15" customHeight="1">
      <c r="A45" s="41" t="inlineStr">
        <is>
          <t>Teilzone 2</t>
        </is>
      </c>
      <c r="B45" s="41">
        <f>E10*E$20</f>
        <v/>
      </c>
      <c r="C45" s="18" t="n">
        <v>1000</v>
      </c>
      <c r="D45" s="18" t="n"/>
      <c r="E45" s="14">
        <f>C45*D45</f>
        <v/>
      </c>
      <c r="F45" s="8" t="inlineStr">
        <is>
          <t>m3/h</t>
        </is>
      </c>
    </row>
    <row r="46" ht="15" customHeight="1">
      <c r="A46" s="41" t="inlineStr">
        <is>
          <t>Teilzone 3</t>
        </is>
      </c>
      <c r="B46" s="41">
        <f>E11*E$20</f>
        <v/>
      </c>
      <c r="C46" s="18" t="n">
        <v>1000</v>
      </c>
      <c r="D46" s="18" t="n"/>
      <c r="E46" s="14">
        <f>C46*D46</f>
        <v/>
      </c>
      <c r="F46" s="8" t="inlineStr">
        <is>
          <t>m3/h</t>
        </is>
      </c>
    </row>
    <row r="47" ht="15" customHeight="1">
      <c r="A47" s="41" t="inlineStr">
        <is>
          <t>Teilzone 4</t>
        </is>
      </c>
      <c r="B47" s="41">
        <f>E13*E$20</f>
        <v/>
      </c>
      <c r="C47" s="18" t="n">
        <v>1000</v>
      </c>
      <c r="D47" s="18" t="n"/>
      <c r="E47" s="14">
        <f>C47*D47</f>
        <v/>
      </c>
      <c r="F47" s="8" t="inlineStr">
        <is>
          <t>m3/h</t>
        </is>
      </c>
    </row>
    <row r="48" ht="15" customHeight="1">
      <c r="A48" s="41" t="inlineStr">
        <is>
          <t>Total Zuluft durch Öffnungen</t>
        </is>
      </c>
      <c r="B48" s="53" t="n"/>
      <c r="C48" s="53" t="n"/>
      <c r="D48" s="54" t="n"/>
      <c r="E48" s="17">
        <f>SUM(E44:E47)</f>
        <v/>
      </c>
      <c r="F48" s="8" t="inlineStr">
        <is>
          <t>m3/h</t>
        </is>
      </c>
    </row>
    <row r="49">
      <c r="A49" s="45" t="inlineStr">
        <is>
          <t>Total Anzahl Öffnungen</t>
        </is>
      </c>
      <c r="B49" s="55" t="n"/>
      <c r="C49" s="56" t="n"/>
      <c r="D49" s="16">
        <f>SUM(D44:D47)</f>
        <v/>
      </c>
    </row>
    <row r="51">
      <c r="A51" s="7" t="inlineStr">
        <is>
          <t>5. Leckagen</t>
        </is>
      </c>
      <c r="B51" s="7" t="n"/>
      <c r="C51" s="7" t="n"/>
      <c r="D51" s="7" t="n"/>
      <c r="E51" s="7" t="n"/>
      <c r="F51" s="7" t="n"/>
    </row>
    <row r="52">
      <c r="A52" s="41" t="inlineStr">
        <is>
          <t>Vielfaches des Raumvoluments (0.5 bis 10, je nach Zone)</t>
        </is>
      </c>
      <c r="B52" s="53" t="n"/>
      <c r="C52" s="53" t="n"/>
      <c r="D52" s="54" t="n"/>
      <c r="E52" s="15" t="n">
        <v>5</v>
      </c>
      <c r="F52" s="14" t="n"/>
    </row>
    <row r="53" ht="15" customHeight="1">
      <c r="A53" s="47" t="inlineStr">
        <is>
          <t>Total Leckagen (Raumvolumen * obenstehende Zahl)</t>
        </is>
      </c>
      <c r="B53" s="53" t="n"/>
      <c r="C53" s="53" t="n"/>
      <c r="D53" s="54" t="n"/>
      <c r="E53" s="31">
        <f>E14*E52</f>
        <v/>
      </c>
      <c r="F53" s="13" t="inlineStr">
        <is>
          <t>m3/h</t>
        </is>
      </c>
    </row>
    <row r="55">
      <c r="A55" s="7" t="inlineStr">
        <is>
          <t>6. Überprüfen der Leistung der UHG</t>
        </is>
      </c>
      <c r="B55" s="7" t="n"/>
      <c r="C55" s="7" t="n"/>
      <c r="D55" s="7" t="n"/>
      <c r="E55" s="7" t="n"/>
      <c r="F55" s="7" t="n"/>
    </row>
    <row r="56">
      <c r="A56" s="48" t="inlineStr">
        <is>
          <t>Leistung UHGs muss Zuluft aus Schleusen, Leckagen und Teil der Öffnungen abdecken.</t>
        </is>
      </c>
    </row>
    <row r="57">
      <c r="A57" s="49" t="inlineStr">
        <is>
          <t>Anteil abzudeckender Zuluftöffnungen (nicht mehr als 0.5)</t>
        </is>
      </c>
      <c r="B57" s="53" t="n"/>
      <c r="C57" s="53" t="n"/>
      <c r="D57" s="54" t="n"/>
      <c r="E57" s="12" t="n">
        <v>0.5</v>
      </c>
      <c r="F57" s="11" t="n"/>
    </row>
    <row r="58" ht="15" customHeight="1">
      <c r="A58" s="41" t="inlineStr">
        <is>
          <t>Reservekapazität UHG</t>
        </is>
      </c>
      <c r="B58" s="53" t="n"/>
      <c r="C58" s="53" t="n"/>
      <c r="D58" s="54" t="n"/>
      <c r="E58" s="31">
        <f>E32-E36-E38-E53-E48*(1-E57)</f>
        <v/>
      </c>
      <c r="F58" s="8" t="inlineStr">
        <is>
          <t>m3/h</t>
        </is>
      </c>
    </row>
    <row r="59">
      <c r="A59" s="8" t="n"/>
      <c r="B59" s="10" t="inlineStr">
        <is>
          <t>Leistung nominal</t>
        </is>
      </c>
      <c r="C59" s="10" t="inlineStr">
        <is>
          <t>Leistung nominal</t>
        </is>
      </c>
      <c r="D59" s="10" t="inlineStr">
        <is>
          <t>Anzahl Geräte</t>
        </is>
      </c>
      <c r="E59" s="8" t="n"/>
      <c r="F59" s="8" t="n"/>
    </row>
    <row r="60" ht="15" customHeight="1">
      <c r="A60" s="41" t="inlineStr">
        <is>
          <t>Zusätzliche UHGs</t>
        </is>
      </c>
      <c r="B60" s="9" t="n">
        <v>3000</v>
      </c>
      <c r="C60" s="41" t="n">
        <v>2550</v>
      </c>
      <c r="D60" s="9" t="n"/>
      <c r="E60" s="8">
        <f>C60*D60</f>
        <v/>
      </c>
      <c r="F60" s="8" t="inlineStr">
        <is>
          <t>m3/h</t>
        </is>
      </c>
    </row>
    <row r="61" ht="15" customHeight="1">
      <c r="A61" s="8" t="inlineStr">
        <is>
          <t>Total Leistung UHGs (real, ohne Not-UHG)</t>
        </is>
      </c>
      <c r="B61" s="8" t="n"/>
      <c r="C61" s="8" t="n"/>
      <c r="D61" s="8" t="n"/>
      <c r="E61" s="8">
        <f>E32+E60</f>
        <v/>
      </c>
      <c r="F61" s="8" t="inlineStr">
        <is>
          <t>m3/h</t>
        </is>
      </c>
    </row>
    <row r="63" ht="14" customHeight="1" thickBot="1">
      <c r="A63" s="7" t="inlineStr">
        <is>
          <t>Luftaustausch vor Aufhebung der Sanierungszone</t>
        </is>
      </c>
      <c r="B63" s="7" t="n"/>
      <c r="C63" s="7" t="n"/>
      <c r="D63" s="7" t="n"/>
      <c r="E63" s="7" t="n"/>
      <c r="F63" s="7" t="n"/>
    </row>
    <row r="64" ht="15" customHeight="1" thickBot="1">
      <c r="A64" s="57" t="inlineStr">
        <is>
          <t>Vor Aufhebung der Sanierungszone muss die Luft mindestens 100 mal ausgetauscht werden. Mit den installierten UHG dauert dies:</t>
        </is>
      </c>
      <c r="B64" s="58" t="n"/>
      <c r="C64" s="58" t="n"/>
      <c r="D64" s="59" t="n"/>
      <c r="E64" s="6">
        <f>E14*100/E61</f>
        <v/>
      </c>
      <c r="F64" s="5" t="inlineStr">
        <is>
          <t>Std.</t>
        </is>
      </c>
    </row>
    <row r="65">
      <c r="A65" s="46" t="n"/>
      <c r="F65" s="4" t="n"/>
    </row>
    <row r="66">
      <c r="A66" s="46" t="n"/>
    </row>
    <row r="67">
      <c r="A67" s="46" t="n"/>
      <c r="F67" s="4" t="n"/>
    </row>
    <row r="70">
      <c r="A70" s="2" t="n"/>
      <c r="C70" s="3" t="n"/>
    </row>
    <row r="71">
      <c r="A71" s="2" t="n"/>
      <c r="C71" s="3" t="n"/>
    </row>
    <row r="72">
      <c r="A72" s="2" t="n"/>
      <c r="C72" s="3" t="n"/>
    </row>
    <row r="73">
      <c r="A73" s="2" t="n"/>
      <c r="C73" s="3" t="n"/>
    </row>
    <row r="74">
      <c r="A74" s="2" t="n"/>
      <c r="C74" s="3" t="n"/>
      <c r="E74" s="36" t="n"/>
    </row>
    <row r="75">
      <c r="C75" s="3" t="n"/>
    </row>
    <row r="76">
      <c r="A76" s="2" t="n"/>
    </row>
    <row r="78">
      <c r="A78" s="1" t="n"/>
    </row>
  </sheetData>
  <mergeCells count="26">
    <mergeCell ref="A23:D23"/>
    <mergeCell ref="A53:D53"/>
    <mergeCell ref="A20:D20"/>
    <mergeCell ref="A37:F37"/>
    <mergeCell ref="A52:D52"/>
    <mergeCell ref="A36:B36"/>
    <mergeCell ref="A1:E1"/>
    <mergeCell ref="A56:F56"/>
    <mergeCell ref="E35:F35"/>
    <mergeCell ref="A65:E65"/>
    <mergeCell ref="C3:F3"/>
    <mergeCell ref="A58:D58"/>
    <mergeCell ref="A48:D48"/>
    <mergeCell ref="A64:D64"/>
    <mergeCell ref="A66:E66"/>
    <mergeCell ref="A3:B3"/>
    <mergeCell ref="C4:F4"/>
    <mergeCell ref="A39:F39"/>
    <mergeCell ref="A35:B35"/>
    <mergeCell ref="A4:B4"/>
    <mergeCell ref="A38:B38"/>
    <mergeCell ref="A49:C49"/>
    <mergeCell ref="A57:D57"/>
    <mergeCell ref="A32:D32"/>
    <mergeCell ref="A67:E67"/>
    <mergeCell ref="A14:D14"/>
  </mergeCells>
  <pageMargins left="0.78740157480315" right="0.393700787401575" top="0.78740157480315" bottom="0.590551181102362" header="0.393700787401575" footer="0.196850393700787"/>
  <pageSetup orientation="portrait" paperSize="9" scale="82"/>
  <headerFooter>
    <oddHeader/>
    <oddFooter>&amp;L&amp;8 &amp;K000000R+S Asbest- und Schadstoffsanierung_x000a_cr&amp;C&amp;8 &amp;K000000&amp;P von &amp;N&amp;R&amp;8 &amp;K000000&amp;D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cintia.reitmann</dc:creator>
  <dcterms:created xmlns:dcterms="http://purl.org/dc/terms/" xmlns:xsi="http://www.w3.org/2001/XMLSchema-instance" xsi:type="dcterms:W3CDTF">2015-03-23T09:25:03Z</dcterms:created>
  <dcterms:modified xmlns:dcterms="http://purl.org/dc/terms/" xmlns:xsi="http://www.w3.org/2001/XMLSchema-instance" xsi:type="dcterms:W3CDTF">2026-04-23T14:56:44Z</dcterms:modified>
  <cp:lastModifiedBy>Luis Silva Ccanto</cp:lastModifiedBy>
  <cp:lastPrinted>2022-05-04T06:35:01Z</cp:lastPrinted>
</cp:coreProperties>
</file>